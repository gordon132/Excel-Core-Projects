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90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F23" i="1"/>
  <c r="E23" i="1"/>
  <c r="D23" i="1"/>
  <c r="C23" i="1"/>
  <c r="F22" i="1"/>
  <c r="E22" i="1"/>
  <c r="D22" i="1"/>
  <c r="C22" i="1"/>
  <c r="K20" i="1"/>
  <c r="J20" i="1"/>
  <c r="I20" i="1"/>
  <c r="H20" i="1"/>
  <c r="M20" i="1" s="1"/>
  <c r="K19" i="1"/>
  <c r="J19" i="1"/>
  <c r="I19" i="1"/>
  <c r="H19" i="1"/>
  <c r="M19" i="1" s="1"/>
  <c r="K18" i="1"/>
  <c r="J18" i="1"/>
  <c r="I18" i="1"/>
  <c r="H18" i="1"/>
  <c r="M18" i="1" s="1"/>
  <c r="K17" i="1"/>
  <c r="J17" i="1"/>
  <c r="I17" i="1"/>
  <c r="H17" i="1"/>
  <c r="M17" i="1" s="1"/>
  <c r="K16" i="1"/>
  <c r="J16" i="1"/>
  <c r="I16" i="1"/>
  <c r="H16" i="1"/>
  <c r="M16" i="1" s="1"/>
  <c r="K15" i="1"/>
  <c r="J15" i="1"/>
  <c r="I15" i="1"/>
  <c r="H15" i="1"/>
  <c r="M15" i="1" s="1"/>
  <c r="K14" i="1"/>
  <c r="J14" i="1"/>
  <c r="I14" i="1"/>
  <c r="H14" i="1"/>
  <c r="M14" i="1" s="1"/>
  <c r="K13" i="1"/>
  <c r="J13" i="1"/>
  <c r="I13" i="1"/>
  <c r="H13" i="1"/>
  <c r="M13" i="1" s="1"/>
  <c r="K12" i="1"/>
  <c r="J12" i="1"/>
  <c r="I12" i="1"/>
  <c r="H12" i="1"/>
  <c r="M12" i="1" s="1"/>
  <c r="K11" i="1"/>
  <c r="J11" i="1"/>
  <c r="I11" i="1"/>
  <c r="H11" i="1"/>
  <c r="M11" i="1" s="1"/>
  <c r="K10" i="1"/>
  <c r="J10" i="1"/>
  <c r="I10" i="1"/>
  <c r="H10" i="1"/>
  <c r="M10" i="1" s="1"/>
  <c r="K9" i="1"/>
  <c r="J9" i="1"/>
  <c r="I9" i="1"/>
  <c r="H9" i="1"/>
  <c r="M9" i="1" s="1"/>
  <c r="K8" i="1"/>
  <c r="J8" i="1"/>
  <c r="I8" i="1"/>
  <c r="H8" i="1"/>
  <c r="M8" i="1" s="1"/>
  <c r="K7" i="1"/>
  <c r="J7" i="1"/>
  <c r="I7" i="1"/>
  <c r="H7" i="1"/>
  <c r="M7" i="1" s="1"/>
  <c r="K6" i="1"/>
  <c r="J6" i="1"/>
  <c r="I6" i="1"/>
  <c r="H6" i="1"/>
  <c r="M6" i="1" s="1"/>
  <c r="K5" i="1"/>
  <c r="J5" i="1"/>
  <c r="I5" i="1"/>
  <c r="H5" i="1"/>
  <c r="H22" i="1" s="1"/>
  <c r="K4" i="1"/>
  <c r="K24" i="1" s="1"/>
  <c r="J4" i="1"/>
  <c r="J24" i="1" s="1"/>
  <c r="I4" i="1"/>
  <c r="I24" i="1" s="1"/>
  <c r="H4" i="1"/>
  <c r="M4" i="1" s="1"/>
  <c r="H23" i="1" l="1"/>
  <c r="I22" i="1"/>
  <c r="I23" i="1"/>
  <c r="H24" i="1"/>
  <c r="J22" i="1"/>
  <c r="J23" i="1"/>
  <c r="M5" i="1"/>
  <c r="K22" i="1"/>
  <c r="K23" i="1"/>
</calcChain>
</file>

<file path=xl/sharedStrings.xml><?xml version="1.0" encoding="utf-8"?>
<sst xmlns="http://schemas.openxmlformats.org/spreadsheetml/2006/main" count="50" uniqueCount="45">
  <si>
    <t>Gradebook</t>
  </si>
  <si>
    <t>Safety Test</t>
  </si>
  <si>
    <t>Company Philosophy Test</t>
  </si>
  <si>
    <t>Financial Skills Test</t>
  </si>
  <si>
    <t>Drug Test</t>
  </si>
  <si>
    <t>Fire Employee?</t>
  </si>
  <si>
    <t>Points Possible</t>
  </si>
  <si>
    <t>First Name</t>
  </si>
  <si>
    <t>Last name</t>
  </si>
  <si>
    <t xml:space="preserve">Jon </t>
  </si>
  <si>
    <t>Snow</t>
  </si>
  <si>
    <t>Tywin</t>
  </si>
  <si>
    <t>Lannister</t>
  </si>
  <si>
    <t>Jamie</t>
  </si>
  <si>
    <t>Eddard</t>
  </si>
  <si>
    <t>Stark</t>
  </si>
  <si>
    <t>Jorah</t>
  </si>
  <si>
    <t>Mormont</t>
  </si>
  <si>
    <t>Sandor</t>
  </si>
  <si>
    <t>Clegane</t>
  </si>
  <si>
    <t>Robert</t>
  </si>
  <si>
    <t>Baratheon</t>
  </si>
  <si>
    <t>Walter</t>
  </si>
  <si>
    <t>White</t>
  </si>
  <si>
    <t>Raymond</t>
  </si>
  <si>
    <t>Reddington</t>
  </si>
  <si>
    <t>Dembe</t>
  </si>
  <si>
    <t>Zuma</t>
  </si>
  <si>
    <t>Ragnar</t>
  </si>
  <si>
    <t>Lothbrok</t>
  </si>
  <si>
    <t>Thomas</t>
  </si>
  <si>
    <t>Shelby</t>
  </si>
  <si>
    <t xml:space="preserve">Max </t>
  </si>
  <si>
    <t>Verstappen</t>
  </si>
  <si>
    <t>Lewis</t>
  </si>
  <si>
    <t>Hamilton</t>
  </si>
  <si>
    <t>Fernandes</t>
  </si>
  <si>
    <t>Alonso</t>
  </si>
  <si>
    <t>Filipe</t>
  </si>
  <si>
    <t>Luis</t>
  </si>
  <si>
    <t>Winston</t>
  </si>
  <si>
    <t>Churchill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</si>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</sst>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[1]Sheet2!$A$4:$A$20</c:f>
              <c:strCache>
                <c:ptCount val="17"/>
                <c:pt idx="0">
                  <c:v>Jon </c:v>
                </c:pt>
                <c:pt idx="1">
                  <c:v>Tywin</c:v>
                </c:pt>
                <c:pt idx="2">
                  <c:v>Jamie</c:v>
                </c:pt>
                <c:pt idx="3">
                  <c:v>Eddard</c:v>
                </c:pt>
                <c:pt idx="4">
                  <c:v>Jorah</c:v>
                </c:pt>
                <c:pt idx="5">
                  <c:v>Sandor</c:v>
                </c:pt>
                <c:pt idx="6">
                  <c:v>Robert</c:v>
                </c:pt>
                <c:pt idx="7">
                  <c:v>Walter</c:v>
                </c:pt>
                <c:pt idx="8">
                  <c:v>Raymond</c:v>
                </c:pt>
                <c:pt idx="9">
                  <c:v>Dembe</c:v>
                </c:pt>
                <c:pt idx="10">
                  <c:v>Ragnar</c:v>
                </c:pt>
                <c:pt idx="11">
                  <c:v>Thomas</c:v>
                </c:pt>
                <c:pt idx="12">
                  <c:v>Max </c:v>
                </c:pt>
                <c:pt idx="13">
                  <c:v>Lewis</c:v>
                </c:pt>
                <c:pt idx="14">
                  <c:v>Fernandes</c:v>
                </c:pt>
                <c:pt idx="15">
                  <c:v>Filipe</c:v>
                </c:pt>
                <c:pt idx="16">
                  <c:v>Winston</c:v>
                </c:pt>
              </c:strCache>
            </c:strRef>
          </c:cat>
          <c:val>
            <c:numRef>
              <c:f>[1]Sheet2!$C$4:$C$20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5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1498528"/>
        <c:axId val="301502840"/>
      </c:barChart>
      <c:catAx>
        <c:axId val="30149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2840"/>
        <c:crosses val="autoZero"/>
        <c:auto val="1"/>
        <c:lblAlgn val="ctr"/>
        <c:lblOffset val="100"/>
        <c:noMultiLvlLbl val="0"/>
      </c:catAx>
      <c:valAx>
        <c:axId val="30150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49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[1]Sheet2!$A$4:$A$20</c:f>
              <c:strCache>
                <c:ptCount val="17"/>
                <c:pt idx="0">
                  <c:v>Jon </c:v>
                </c:pt>
                <c:pt idx="1">
                  <c:v>Tywin</c:v>
                </c:pt>
                <c:pt idx="2">
                  <c:v>Jamie</c:v>
                </c:pt>
                <c:pt idx="3">
                  <c:v>Eddard</c:v>
                </c:pt>
                <c:pt idx="4">
                  <c:v>Jorah</c:v>
                </c:pt>
                <c:pt idx="5">
                  <c:v>Sandor</c:v>
                </c:pt>
                <c:pt idx="6">
                  <c:v>Robert</c:v>
                </c:pt>
                <c:pt idx="7">
                  <c:v>Walter</c:v>
                </c:pt>
                <c:pt idx="8">
                  <c:v>Raymond</c:v>
                </c:pt>
                <c:pt idx="9">
                  <c:v>Dembe</c:v>
                </c:pt>
                <c:pt idx="10">
                  <c:v>Ragnar</c:v>
                </c:pt>
                <c:pt idx="11">
                  <c:v>Thomas</c:v>
                </c:pt>
                <c:pt idx="12">
                  <c:v>Max </c:v>
                </c:pt>
                <c:pt idx="13">
                  <c:v>Lewis</c:v>
                </c:pt>
                <c:pt idx="14">
                  <c:v>Fernandes</c:v>
                </c:pt>
                <c:pt idx="15">
                  <c:v>Filipe</c:v>
                </c:pt>
                <c:pt idx="16">
                  <c:v>Winston</c:v>
                </c:pt>
              </c:strCache>
            </c:strRef>
          </c:cat>
          <c:val>
            <c:numRef>
              <c:f>[1]Sheet2!$D$4:$D$20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6</c:v>
                </c:pt>
                <c:pt idx="7">
                  <c:v>10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19</c:v>
                </c:pt>
                <c:pt idx="12">
                  <c:v>15</c:v>
                </c:pt>
                <c:pt idx="13">
                  <c:v>14</c:v>
                </c:pt>
                <c:pt idx="14">
                  <c:v>17</c:v>
                </c:pt>
                <c:pt idx="15">
                  <c:v>19</c:v>
                </c:pt>
                <c:pt idx="16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500880"/>
        <c:axId val="301501664"/>
      </c:barChart>
      <c:catAx>
        <c:axId val="30150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1664"/>
        <c:crosses val="autoZero"/>
        <c:auto val="1"/>
        <c:lblAlgn val="ctr"/>
        <c:lblOffset val="100"/>
        <c:noMultiLvlLbl val="0"/>
      </c:catAx>
      <c:valAx>
        <c:axId val="3015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0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[1]Sheet2!$A$4:$A$20</c:f>
              <c:strCache>
                <c:ptCount val="17"/>
                <c:pt idx="0">
                  <c:v>Jon </c:v>
                </c:pt>
                <c:pt idx="1">
                  <c:v>Tywin</c:v>
                </c:pt>
                <c:pt idx="2">
                  <c:v>Jamie</c:v>
                </c:pt>
                <c:pt idx="3">
                  <c:v>Eddard</c:v>
                </c:pt>
                <c:pt idx="4">
                  <c:v>Jorah</c:v>
                </c:pt>
                <c:pt idx="5">
                  <c:v>Sandor</c:v>
                </c:pt>
                <c:pt idx="6">
                  <c:v>Robert</c:v>
                </c:pt>
                <c:pt idx="7">
                  <c:v>Walter</c:v>
                </c:pt>
                <c:pt idx="8">
                  <c:v>Raymond</c:v>
                </c:pt>
                <c:pt idx="9">
                  <c:v>Dembe</c:v>
                </c:pt>
                <c:pt idx="10">
                  <c:v>Ragnar</c:v>
                </c:pt>
                <c:pt idx="11">
                  <c:v>Thomas</c:v>
                </c:pt>
                <c:pt idx="12">
                  <c:v>Max </c:v>
                </c:pt>
                <c:pt idx="13">
                  <c:v>Lewis</c:v>
                </c:pt>
                <c:pt idx="14">
                  <c:v>Fernandes</c:v>
                </c:pt>
                <c:pt idx="15">
                  <c:v>Filipe</c:v>
                </c:pt>
                <c:pt idx="16">
                  <c:v>Winston</c:v>
                </c:pt>
              </c:strCache>
            </c:strRef>
          </c:cat>
          <c:val>
            <c:numRef>
              <c:f>[1]Sheet2!$E$4:$E$20</c:f>
              <c:numCache>
                <c:formatCode>General</c:formatCode>
                <c:ptCount val="17"/>
                <c:pt idx="0">
                  <c:v>97</c:v>
                </c:pt>
                <c:pt idx="1">
                  <c:v>88</c:v>
                </c:pt>
                <c:pt idx="2">
                  <c:v>100</c:v>
                </c:pt>
                <c:pt idx="3">
                  <c:v>70</c:v>
                </c:pt>
                <c:pt idx="4">
                  <c:v>85</c:v>
                </c:pt>
                <c:pt idx="5">
                  <c:v>65</c:v>
                </c:pt>
                <c:pt idx="6">
                  <c:v>50</c:v>
                </c:pt>
                <c:pt idx="7">
                  <c:v>64</c:v>
                </c:pt>
                <c:pt idx="8">
                  <c:v>88</c:v>
                </c:pt>
                <c:pt idx="9">
                  <c:v>91</c:v>
                </c:pt>
                <c:pt idx="10">
                  <c:v>83</c:v>
                </c:pt>
                <c:pt idx="11">
                  <c:v>79</c:v>
                </c:pt>
                <c:pt idx="12">
                  <c:v>67</c:v>
                </c:pt>
                <c:pt idx="13">
                  <c:v>84</c:v>
                </c:pt>
                <c:pt idx="14">
                  <c:v>93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409024"/>
        <c:axId val="486410984"/>
      </c:barChart>
      <c:catAx>
        <c:axId val="4864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10984"/>
        <c:crosses val="autoZero"/>
        <c:auto val="1"/>
        <c:lblAlgn val="ctr"/>
        <c:lblOffset val="100"/>
        <c:noMultiLvlLbl val="0"/>
      </c:catAx>
      <c:valAx>
        <c:axId val="48641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0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7136</xdr:colOff>
      <xdr:row>3</xdr:row>
      <xdr:rowOff>16124</xdr:rowOff>
    </xdr:from>
    <xdr:to>
      <xdr:col>20</xdr:col>
      <xdr:colOff>277546</xdr:colOff>
      <xdr:row>15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15</xdr:row>
      <xdr:rowOff>164100</xdr:rowOff>
    </xdr:from>
    <xdr:to>
      <xdr:col>20</xdr:col>
      <xdr:colOff>335338</xdr:colOff>
      <xdr:row>28</xdr:row>
      <xdr:rowOff>176514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600039</xdr:colOff>
      <xdr:row>29</xdr:row>
      <xdr:rowOff>178370</xdr:rowOff>
    </xdr:from>
    <xdr:to>
      <xdr:col>20</xdr:col>
      <xdr:colOff>299664</xdr:colOff>
      <xdr:row>44</xdr:row>
      <xdr:rowOff>133706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ignmen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4">
          <cell r="A4" t="str">
            <v xml:space="preserve">Jon </v>
          </cell>
          <cell r="C4">
            <v>10</v>
          </cell>
          <cell r="D4">
            <v>19</v>
          </cell>
          <cell r="E4">
            <v>97</v>
          </cell>
        </row>
        <row r="5">
          <cell r="A5" t="str">
            <v>Tywin</v>
          </cell>
          <cell r="C5">
            <v>9</v>
          </cell>
          <cell r="D5">
            <v>20</v>
          </cell>
          <cell r="E5">
            <v>88</v>
          </cell>
        </row>
        <row r="6">
          <cell r="A6" t="str">
            <v>Jamie</v>
          </cell>
          <cell r="C6">
            <v>8</v>
          </cell>
          <cell r="D6">
            <v>17</v>
          </cell>
          <cell r="E6">
            <v>100</v>
          </cell>
        </row>
        <row r="7">
          <cell r="A7" t="str">
            <v>Eddard</v>
          </cell>
          <cell r="C7">
            <v>10</v>
          </cell>
          <cell r="D7">
            <v>11</v>
          </cell>
          <cell r="E7">
            <v>70</v>
          </cell>
        </row>
        <row r="8">
          <cell r="A8" t="str">
            <v>Jorah</v>
          </cell>
          <cell r="C8">
            <v>10</v>
          </cell>
          <cell r="D8">
            <v>14</v>
          </cell>
          <cell r="E8">
            <v>85</v>
          </cell>
        </row>
        <row r="9">
          <cell r="A9" t="str">
            <v>Sandor</v>
          </cell>
          <cell r="C9">
            <v>9</v>
          </cell>
          <cell r="D9">
            <v>16</v>
          </cell>
          <cell r="E9">
            <v>65</v>
          </cell>
        </row>
        <row r="10">
          <cell r="A10" t="str">
            <v>Robert</v>
          </cell>
          <cell r="C10">
            <v>8</v>
          </cell>
          <cell r="D10">
            <v>6</v>
          </cell>
          <cell r="E10">
            <v>50</v>
          </cell>
        </row>
        <row r="11">
          <cell r="A11" t="str">
            <v>Walter</v>
          </cell>
          <cell r="C11">
            <v>9</v>
          </cell>
          <cell r="D11">
            <v>10</v>
          </cell>
          <cell r="E11">
            <v>64</v>
          </cell>
        </row>
        <row r="12">
          <cell r="A12" t="str">
            <v>Raymond</v>
          </cell>
          <cell r="C12">
            <v>8</v>
          </cell>
          <cell r="D12">
            <v>17</v>
          </cell>
          <cell r="E12">
            <v>88</v>
          </cell>
        </row>
        <row r="13">
          <cell r="A13" t="str">
            <v>Dembe</v>
          </cell>
          <cell r="C13">
            <v>9</v>
          </cell>
          <cell r="D13">
            <v>18</v>
          </cell>
          <cell r="E13">
            <v>91</v>
          </cell>
        </row>
        <row r="14">
          <cell r="A14" t="str">
            <v>Ragnar</v>
          </cell>
          <cell r="C14">
            <v>10</v>
          </cell>
          <cell r="D14">
            <v>19</v>
          </cell>
          <cell r="E14">
            <v>83</v>
          </cell>
        </row>
        <row r="15">
          <cell r="A15" t="str">
            <v>Thomas</v>
          </cell>
          <cell r="C15">
            <v>10</v>
          </cell>
          <cell r="D15">
            <v>19</v>
          </cell>
          <cell r="E15">
            <v>79</v>
          </cell>
        </row>
        <row r="16">
          <cell r="A16" t="str">
            <v xml:space="preserve">Max </v>
          </cell>
          <cell r="C16">
            <v>5</v>
          </cell>
          <cell r="D16">
            <v>15</v>
          </cell>
          <cell r="E16">
            <v>67</v>
          </cell>
        </row>
        <row r="17">
          <cell r="A17" t="str">
            <v>Lewis</v>
          </cell>
          <cell r="C17">
            <v>10</v>
          </cell>
          <cell r="D17">
            <v>14</v>
          </cell>
          <cell r="E17">
            <v>84</v>
          </cell>
        </row>
        <row r="18">
          <cell r="A18" t="str">
            <v>Fernandes</v>
          </cell>
          <cell r="C18">
            <v>9</v>
          </cell>
          <cell r="D18">
            <v>17</v>
          </cell>
          <cell r="E18">
            <v>93</v>
          </cell>
        </row>
        <row r="19">
          <cell r="A19" t="str">
            <v>Filipe</v>
          </cell>
          <cell r="C19">
            <v>8</v>
          </cell>
          <cell r="D19">
            <v>19</v>
          </cell>
          <cell r="E19">
            <v>100</v>
          </cell>
        </row>
        <row r="20">
          <cell r="A20" t="str">
            <v>Winston</v>
          </cell>
          <cell r="C20">
            <v>7</v>
          </cell>
          <cell r="D20">
            <v>12</v>
          </cell>
          <cell r="E20">
            <v>100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13.1796875" bestFit="1" customWidth="1"/>
    <col min="3" max="6" width="7.6328125" customWidth="1"/>
  </cols>
  <sheetData>
    <row r="1" spans="1:13" ht="124.5" x14ac:dyDescent="0.35">
      <c r="A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5</v>
      </c>
    </row>
    <row r="2" spans="1:13" x14ac:dyDescent="0.35">
      <c r="B2" t="s">
        <v>6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7</v>
      </c>
      <c r="B3" t="s">
        <v>8</v>
      </c>
    </row>
    <row r="4" spans="1:13" x14ac:dyDescent="0.35">
      <c r="A4" t="s">
        <v>9</v>
      </c>
      <c r="B4" t="s">
        <v>10</v>
      </c>
      <c r="C4">
        <v>10</v>
      </c>
      <c r="D4">
        <v>19</v>
      </c>
      <c r="E4">
        <v>97</v>
      </c>
      <c r="F4">
        <v>1</v>
      </c>
      <c r="H4" s="2">
        <f>C4/C$2</f>
        <v>1</v>
      </c>
      <c r="I4" s="2">
        <f>D4/D$2</f>
        <v>0.95</v>
      </c>
      <c r="J4" s="2">
        <f>E4/E$2</f>
        <v>0.97</v>
      </c>
      <c r="K4" s="2">
        <f>F4/F$2</f>
        <v>1</v>
      </c>
      <c r="M4" s="2" t="b">
        <f>OR(H4&lt;0.5,I4&lt;0.5,J4&lt;0.5,K4&lt;0.5)</f>
        <v>0</v>
      </c>
    </row>
    <row r="5" spans="1:13" x14ac:dyDescent="0.35">
      <c r="A5" t="s">
        <v>11</v>
      </c>
      <c r="B5" t="s">
        <v>12</v>
      </c>
      <c r="C5">
        <v>9</v>
      </c>
      <c r="D5">
        <v>20</v>
      </c>
      <c r="E5">
        <v>88</v>
      </c>
      <c r="F5">
        <v>1</v>
      </c>
      <c r="H5" s="2">
        <f t="shared" ref="H5:K20" si="0">C5/C$2</f>
        <v>0.9</v>
      </c>
      <c r="I5" s="2">
        <f t="shared" si="0"/>
        <v>1</v>
      </c>
      <c r="J5" s="2">
        <f t="shared" si="0"/>
        <v>0.88</v>
      </c>
      <c r="K5" s="2">
        <f t="shared" si="0"/>
        <v>1</v>
      </c>
      <c r="M5" s="2" t="b">
        <f t="shared" ref="M5:M20" si="1">OR(H5&lt;0.5,I5&lt;0.5,J5&lt;0.5,K5&lt;0.5)</f>
        <v>0</v>
      </c>
    </row>
    <row r="6" spans="1:13" x14ac:dyDescent="0.35">
      <c r="A6" t="s">
        <v>13</v>
      </c>
      <c r="B6" t="s">
        <v>12</v>
      </c>
      <c r="C6">
        <v>8</v>
      </c>
      <c r="D6">
        <v>17</v>
      </c>
      <c r="E6">
        <v>100</v>
      </c>
      <c r="F6">
        <v>1</v>
      </c>
      <c r="H6" s="2">
        <f t="shared" si="0"/>
        <v>0.8</v>
      </c>
      <c r="I6" s="2">
        <f t="shared" si="0"/>
        <v>0.85</v>
      </c>
      <c r="J6" s="2">
        <f t="shared" si="0"/>
        <v>1</v>
      </c>
      <c r="K6" s="2">
        <f t="shared" si="0"/>
        <v>1</v>
      </c>
      <c r="M6" s="2" t="b">
        <f t="shared" si="1"/>
        <v>0</v>
      </c>
    </row>
    <row r="7" spans="1:13" x14ac:dyDescent="0.35">
      <c r="A7" t="s">
        <v>14</v>
      </c>
      <c r="B7" t="s">
        <v>15</v>
      </c>
      <c r="C7">
        <v>10</v>
      </c>
      <c r="D7">
        <v>11</v>
      </c>
      <c r="E7">
        <v>70</v>
      </c>
      <c r="F7">
        <v>1</v>
      </c>
      <c r="H7" s="2">
        <f t="shared" si="0"/>
        <v>1</v>
      </c>
      <c r="I7" s="2">
        <f t="shared" si="0"/>
        <v>0.55000000000000004</v>
      </c>
      <c r="J7" s="2">
        <f t="shared" si="0"/>
        <v>0.7</v>
      </c>
      <c r="K7" s="2">
        <f t="shared" si="0"/>
        <v>1</v>
      </c>
      <c r="M7" s="2" t="b">
        <f t="shared" si="1"/>
        <v>0</v>
      </c>
    </row>
    <row r="8" spans="1:13" x14ac:dyDescent="0.35">
      <c r="A8" t="s">
        <v>16</v>
      </c>
      <c r="B8" t="s">
        <v>17</v>
      </c>
      <c r="C8">
        <v>10</v>
      </c>
      <c r="D8">
        <v>14</v>
      </c>
      <c r="E8">
        <v>85</v>
      </c>
      <c r="F8">
        <v>1</v>
      </c>
      <c r="H8" s="2">
        <f t="shared" si="0"/>
        <v>1</v>
      </c>
      <c r="I8" s="2">
        <f t="shared" si="0"/>
        <v>0.7</v>
      </c>
      <c r="J8" s="2">
        <f t="shared" si="0"/>
        <v>0.85</v>
      </c>
      <c r="K8" s="2">
        <f t="shared" si="0"/>
        <v>1</v>
      </c>
      <c r="M8" s="2" t="b">
        <f t="shared" si="1"/>
        <v>0</v>
      </c>
    </row>
    <row r="9" spans="1:13" x14ac:dyDescent="0.35">
      <c r="A9" t="s">
        <v>18</v>
      </c>
      <c r="B9" t="s">
        <v>19</v>
      </c>
      <c r="C9">
        <v>9</v>
      </c>
      <c r="D9">
        <v>16</v>
      </c>
      <c r="E9">
        <v>65</v>
      </c>
      <c r="F9">
        <v>1</v>
      </c>
      <c r="H9" s="2">
        <f t="shared" si="0"/>
        <v>0.9</v>
      </c>
      <c r="I9" s="2">
        <f t="shared" si="0"/>
        <v>0.8</v>
      </c>
      <c r="J9" s="2">
        <f t="shared" si="0"/>
        <v>0.65</v>
      </c>
      <c r="K9" s="2">
        <f t="shared" si="0"/>
        <v>1</v>
      </c>
      <c r="M9" s="2" t="b">
        <f t="shared" si="1"/>
        <v>0</v>
      </c>
    </row>
    <row r="10" spans="1:13" x14ac:dyDescent="0.35">
      <c r="A10" t="s">
        <v>20</v>
      </c>
      <c r="B10" t="s">
        <v>21</v>
      </c>
      <c r="C10">
        <v>8</v>
      </c>
      <c r="D10">
        <v>6</v>
      </c>
      <c r="E10">
        <v>50</v>
      </c>
      <c r="F10">
        <v>1</v>
      </c>
      <c r="H10" s="2">
        <f t="shared" si="0"/>
        <v>0.8</v>
      </c>
      <c r="I10" s="2">
        <f t="shared" si="0"/>
        <v>0.3</v>
      </c>
      <c r="J10" s="2">
        <f t="shared" si="0"/>
        <v>0.5</v>
      </c>
      <c r="K10" s="2">
        <f t="shared" si="0"/>
        <v>1</v>
      </c>
      <c r="M10" s="2" t="b">
        <f t="shared" si="1"/>
        <v>1</v>
      </c>
    </row>
    <row r="11" spans="1:13" x14ac:dyDescent="0.35">
      <c r="A11" t="s">
        <v>22</v>
      </c>
      <c r="B11" t="s">
        <v>23</v>
      </c>
      <c r="C11">
        <v>9</v>
      </c>
      <c r="D11">
        <v>10</v>
      </c>
      <c r="E11">
        <v>64</v>
      </c>
      <c r="F11">
        <v>1</v>
      </c>
      <c r="H11" s="2">
        <f t="shared" si="0"/>
        <v>0.9</v>
      </c>
      <c r="I11" s="2">
        <f t="shared" si="0"/>
        <v>0.5</v>
      </c>
      <c r="J11" s="2">
        <f t="shared" si="0"/>
        <v>0.64</v>
      </c>
      <c r="K11" s="2">
        <f t="shared" si="0"/>
        <v>1</v>
      </c>
      <c r="M11" s="2" t="b">
        <f t="shared" si="1"/>
        <v>0</v>
      </c>
    </row>
    <row r="12" spans="1:13" x14ac:dyDescent="0.35">
      <c r="A12" t="s">
        <v>24</v>
      </c>
      <c r="B12" t="s">
        <v>25</v>
      </c>
      <c r="C12">
        <v>8</v>
      </c>
      <c r="D12">
        <v>17</v>
      </c>
      <c r="E12">
        <v>88</v>
      </c>
      <c r="F12">
        <v>1</v>
      </c>
      <c r="H12" s="2">
        <f t="shared" si="0"/>
        <v>0.8</v>
      </c>
      <c r="I12" s="2">
        <f t="shared" si="0"/>
        <v>0.85</v>
      </c>
      <c r="J12" s="2">
        <f t="shared" si="0"/>
        <v>0.88</v>
      </c>
      <c r="K12" s="2">
        <f t="shared" si="0"/>
        <v>1</v>
      </c>
      <c r="M12" s="2" t="b">
        <f t="shared" si="1"/>
        <v>0</v>
      </c>
    </row>
    <row r="13" spans="1:13" x14ac:dyDescent="0.35">
      <c r="A13" t="s">
        <v>26</v>
      </c>
      <c r="B13" t="s">
        <v>27</v>
      </c>
      <c r="C13">
        <v>9</v>
      </c>
      <c r="D13">
        <v>18</v>
      </c>
      <c r="E13">
        <v>91</v>
      </c>
      <c r="F13">
        <v>1</v>
      </c>
      <c r="H13" s="2">
        <f t="shared" si="0"/>
        <v>0.9</v>
      </c>
      <c r="I13" s="2">
        <f t="shared" si="0"/>
        <v>0.9</v>
      </c>
      <c r="J13" s="2">
        <f t="shared" si="0"/>
        <v>0.91</v>
      </c>
      <c r="K13" s="2">
        <f t="shared" si="0"/>
        <v>1</v>
      </c>
      <c r="M13" s="2" t="b">
        <f t="shared" si="1"/>
        <v>0</v>
      </c>
    </row>
    <row r="14" spans="1:13" x14ac:dyDescent="0.35">
      <c r="A14" t="s">
        <v>28</v>
      </c>
      <c r="B14" t="s">
        <v>29</v>
      </c>
      <c r="C14">
        <v>10</v>
      </c>
      <c r="D14">
        <v>19</v>
      </c>
      <c r="E14">
        <v>83</v>
      </c>
      <c r="F14">
        <v>1</v>
      </c>
      <c r="H14" s="2">
        <f t="shared" si="0"/>
        <v>1</v>
      </c>
      <c r="I14" s="2">
        <f t="shared" si="0"/>
        <v>0.95</v>
      </c>
      <c r="J14" s="2">
        <f t="shared" si="0"/>
        <v>0.83</v>
      </c>
      <c r="K14" s="2">
        <f t="shared" si="0"/>
        <v>1</v>
      </c>
      <c r="M14" s="2" t="b">
        <f t="shared" si="1"/>
        <v>0</v>
      </c>
    </row>
    <row r="15" spans="1:13" x14ac:dyDescent="0.35">
      <c r="A15" t="s">
        <v>30</v>
      </c>
      <c r="B15" t="s">
        <v>31</v>
      </c>
      <c r="C15">
        <v>10</v>
      </c>
      <c r="D15">
        <v>19</v>
      </c>
      <c r="E15">
        <v>79</v>
      </c>
      <c r="F15">
        <v>0</v>
      </c>
      <c r="H15" s="2">
        <f t="shared" si="0"/>
        <v>1</v>
      </c>
      <c r="I15" s="2">
        <f t="shared" si="0"/>
        <v>0.95</v>
      </c>
      <c r="J15" s="2">
        <f t="shared" si="0"/>
        <v>0.79</v>
      </c>
      <c r="K15" s="2">
        <f t="shared" si="0"/>
        <v>0</v>
      </c>
      <c r="M15" s="2" t="b">
        <f t="shared" si="1"/>
        <v>1</v>
      </c>
    </row>
    <row r="16" spans="1:13" x14ac:dyDescent="0.35">
      <c r="A16" t="s">
        <v>32</v>
      </c>
      <c r="B16" t="s">
        <v>33</v>
      </c>
      <c r="C16">
        <v>5</v>
      </c>
      <c r="D16">
        <v>15</v>
      </c>
      <c r="E16">
        <v>67</v>
      </c>
      <c r="F16">
        <v>1</v>
      </c>
      <c r="H16" s="2">
        <f t="shared" si="0"/>
        <v>0.5</v>
      </c>
      <c r="I16" s="2">
        <f t="shared" si="0"/>
        <v>0.75</v>
      </c>
      <c r="J16" s="2">
        <f t="shared" si="0"/>
        <v>0.67</v>
      </c>
      <c r="K16" s="2">
        <f t="shared" si="0"/>
        <v>1</v>
      </c>
      <c r="M16" s="2" t="b">
        <f t="shared" si="1"/>
        <v>0</v>
      </c>
    </row>
    <row r="17" spans="1:13" x14ac:dyDescent="0.35">
      <c r="A17" t="s">
        <v>34</v>
      </c>
      <c r="B17" t="s">
        <v>35</v>
      </c>
      <c r="C17">
        <v>10</v>
      </c>
      <c r="D17">
        <v>14</v>
      </c>
      <c r="E17">
        <v>84</v>
      </c>
      <c r="F17">
        <v>0</v>
      </c>
      <c r="H17" s="2">
        <f t="shared" si="0"/>
        <v>1</v>
      </c>
      <c r="I17" s="2">
        <f t="shared" si="0"/>
        <v>0.7</v>
      </c>
      <c r="J17" s="2">
        <f t="shared" si="0"/>
        <v>0.84</v>
      </c>
      <c r="K17" s="2">
        <f t="shared" si="0"/>
        <v>0</v>
      </c>
      <c r="M17" s="2" t="b">
        <f t="shared" si="1"/>
        <v>1</v>
      </c>
    </row>
    <row r="18" spans="1:13" x14ac:dyDescent="0.35">
      <c r="A18" t="s">
        <v>36</v>
      </c>
      <c r="B18" t="s">
        <v>37</v>
      </c>
      <c r="C18">
        <v>9</v>
      </c>
      <c r="D18">
        <v>17</v>
      </c>
      <c r="E18">
        <v>93</v>
      </c>
      <c r="F18">
        <v>1</v>
      </c>
      <c r="H18" s="2">
        <f t="shared" si="0"/>
        <v>0.9</v>
      </c>
      <c r="I18" s="2">
        <f t="shared" si="0"/>
        <v>0.85</v>
      </c>
      <c r="J18" s="2">
        <f t="shared" si="0"/>
        <v>0.93</v>
      </c>
      <c r="K18" s="2">
        <f t="shared" si="0"/>
        <v>1</v>
      </c>
      <c r="M18" s="2" t="b">
        <f t="shared" si="1"/>
        <v>0</v>
      </c>
    </row>
    <row r="19" spans="1:13" x14ac:dyDescent="0.35">
      <c r="A19" t="s">
        <v>38</v>
      </c>
      <c r="B19" t="s">
        <v>39</v>
      </c>
      <c r="C19">
        <v>8</v>
      </c>
      <c r="D19">
        <v>19</v>
      </c>
      <c r="E19">
        <v>100</v>
      </c>
      <c r="F19">
        <v>0</v>
      </c>
      <c r="H19" s="2">
        <f t="shared" si="0"/>
        <v>0.8</v>
      </c>
      <c r="I19" s="2">
        <f t="shared" si="0"/>
        <v>0.95</v>
      </c>
      <c r="J19" s="2">
        <f t="shared" si="0"/>
        <v>1</v>
      </c>
      <c r="K19" s="2">
        <f t="shared" si="0"/>
        <v>0</v>
      </c>
      <c r="M19" s="2" t="b">
        <f t="shared" si="1"/>
        <v>1</v>
      </c>
    </row>
    <row r="20" spans="1:13" x14ac:dyDescent="0.35">
      <c r="A20" t="s">
        <v>40</v>
      </c>
      <c r="B20" t="s">
        <v>41</v>
      </c>
      <c r="C20">
        <v>7</v>
      </c>
      <c r="D20">
        <v>12</v>
      </c>
      <c r="E20">
        <v>100</v>
      </c>
      <c r="F20">
        <v>1</v>
      </c>
      <c r="H20" s="2">
        <f t="shared" si="0"/>
        <v>0.7</v>
      </c>
      <c r="I20" s="2">
        <f t="shared" si="0"/>
        <v>0.6</v>
      </c>
      <c r="J20" s="2">
        <f t="shared" si="0"/>
        <v>1</v>
      </c>
      <c r="K20" s="2">
        <f t="shared" si="0"/>
        <v>1</v>
      </c>
      <c r="M20" s="2" t="b">
        <f t="shared" si="1"/>
        <v>0</v>
      </c>
    </row>
    <row r="22" spans="1:13" x14ac:dyDescent="0.35">
      <c r="A22" t="s">
        <v>42</v>
      </c>
      <c r="C22">
        <f>MAX(C4:C20)</f>
        <v>10</v>
      </c>
      <c r="D22">
        <f t="shared" ref="D22:K22" si="2">MAX(D4:D20)</f>
        <v>20</v>
      </c>
      <c r="E22">
        <f t="shared" si="2"/>
        <v>100</v>
      </c>
      <c r="F22">
        <f t="shared" si="2"/>
        <v>1</v>
      </c>
      <c r="H22" s="2">
        <f t="shared" si="2"/>
        <v>1</v>
      </c>
      <c r="I22" s="2">
        <f t="shared" si="2"/>
        <v>1</v>
      </c>
      <c r="J22" s="2">
        <f t="shared" si="2"/>
        <v>1</v>
      </c>
      <c r="K22" s="2">
        <f t="shared" si="2"/>
        <v>1</v>
      </c>
    </row>
    <row r="23" spans="1:13" x14ac:dyDescent="0.35">
      <c r="A23" t="s">
        <v>43</v>
      </c>
      <c r="C23">
        <f>MIN(C4:C20)</f>
        <v>5</v>
      </c>
      <c r="D23">
        <f t="shared" ref="D23:K23" si="3">MIN(D4:D20)</f>
        <v>6</v>
      </c>
      <c r="E23">
        <f t="shared" si="3"/>
        <v>50</v>
      </c>
      <c r="F23">
        <f t="shared" si="3"/>
        <v>0</v>
      </c>
      <c r="H23" s="2">
        <f t="shared" si="3"/>
        <v>0.5</v>
      </c>
      <c r="I23" s="2">
        <f t="shared" si="3"/>
        <v>0.3</v>
      </c>
      <c r="J23" s="2">
        <f t="shared" si="3"/>
        <v>0.5</v>
      </c>
      <c r="K23" s="2">
        <f t="shared" si="3"/>
        <v>0</v>
      </c>
    </row>
    <row r="24" spans="1:13" x14ac:dyDescent="0.35">
      <c r="A24" t="s">
        <v>44</v>
      </c>
      <c r="C24">
        <f>AVERAGE(C4:C20)</f>
        <v>8.764705882352942</v>
      </c>
      <c r="D24">
        <f t="shared" ref="D24:K24" si="4">AVERAGE(D4:D20)</f>
        <v>15.470588235294118</v>
      </c>
      <c r="E24">
        <f t="shared" si="4"/>
        <v>82.588235294117652</v>
      </c>
      <c r="F24">
        <f t="shared" si="4"/>
        <v>0.82352941176470584</v>
      </c>
      <c r="H24" s="2">
        <f t="shared" si="4"/>
        <v>0.87647058823529422</v>
      </c>
      <c r="I24" s="2">
        <f t="shared" si="4"/>
        <v>0.77352941176470569</v>
      </c>
      <c r="J24" s="2">
        <f t="shared" si="4"/>
        <v>0.82588235294117629</v>
      </c>
      <c r="K24" s="2">
        <f t="shared" si="4"/>
        <v>0.82352941176470584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3" priority="2" operator="lessThan">
      <formula>0.5</formula>
    </cfRule>
  </conditionalFormatting>
  <conditionalFormatting sqref="M4:M20">
    <cfRule type="cellIs" dxfId="1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2026-04-19T13:49:18Z</dcterms:created>
  <dcterms:modified xsi:type="dcterms:W3CDTF">2026-04-19T13:50:14Z</dcterms:modified>
</cp:coreProperties>
</file>